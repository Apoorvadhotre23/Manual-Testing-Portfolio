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65"/>
  </bookViews>
  <sheets>
    <sheet name="Ride Booking Test Cases" sheetId="1" r:id="rId1"/>
    <sheet name="Summary" sheetId="2" r:id="rId2"/>
  </sheets>
  <calcPr calcId="162913"/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<sst xmlns="http://schemas.openxmlformats.org/spreadsheetml/2006/main" count="349" uniqueCount="228">
  <si>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</si>
  <si>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</si>
  <si>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</si>
  <si>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</si>
  <si>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</si>
  <si>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</si>
  <si>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</si>
  <si>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</si>
  <si>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</si>
  <si>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</si>
  <si>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</si>
  <si>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TC_001</t>
  </si>
  <si>
    <t>Login</t>
  </si>
  <si>
    <t>Verify successful login with valid OTP</t>
  </si>
  <si>
    <t>Registered account; OTP service available</t>
  </si>
  <si>
    <t>1. Open app
2. select Login
3. enter registered number
4. request OTP
5. enter valid OTP
6. verify</t>
  </si>
  <si>
    <t>User is authenticated and home screen opens</t>
  </si>
  <si>
    <t>High</t>
  </si>
  <si>
    <t>Positive</t>
  </si>
  <si>
    <t>TC_002</t>
  </si>
  <si>
    <t>Verify reject incorrect OTP</t>
  </si>
  <si>
    <t>OTP requested for registered number</t>
  </si>
  <si>
    <t>1. Open login
2. request OTP
3. enter an incorrect OTP
4. tap Verify</t>
  </si>
  <si>
    <t>Incorrect six-digit OTP</t>
  </si>
  <si>
    <t>Login denied with appropriate error</t>
  </si>
  <si>
    <t>Negative</t>
  </si>
  <si>
    <t>TC_003</t>
  </si>
  <si>
    <t>Verify reject expired OTP</t>
  </si>
  <si>
    <t>OTP expiration configured</t>
  </si>
  <si>
    <t>1. Request OTP
2. wait until expiry
3. enter expired OTP
4. verify</t>
  </si>
  <si>
    <t>Expired OTP</t>
  </si>
  <si>
    <t>OTP rejected; resend option available</t>
  </si>
  <si>
    <t>TC_004</t>
  </si>
  <si>
    <t>Pickup &amp; Drop</t>
  </si>
  <si>
    <t>Verify select valid pickup location</t>
  </si>
  <si>
    <t>Logged in; location search available</t>
  </si>
  <si>
    <t>1. Tap pickup
2. search MG Road
3. select correct suggestion
4. inspect pickup field</t>
  </si>
  <si>
    <t>MG Road, Bengaluru</t>
  </si>
  <si>
    <t>Chosen pickup appears correctly</t>
  </si>
  <si>
    <t>TC_005</t>
  </si>
  <si>
    <t>Verify reject identical pickup and destination</t>
  </si>
  <si>
    <t>Logged in</t>
  </si>
  <si>
    <t>1. Set pickup to MG Road
2. set destination to MG Road
3. attempt to continue</t>
  </si>
  <si>
    <t>Pickup and drop: MG Road</t>
  </si>
  <si>
    <t>Booking prevented with validation message</t>
  </si>
  <si>
    <t>TC_006</t>
  </si>
  <si>
    <t>Verify require destination before booking</t>
  </si>
  <si>
    <t>1. Select pickup
2. leave destination empty
3. attempt to continue</t>
  </si>
  <si>
    <t>Pickup: MG Road; drop: blank</t>
  </si>
  <si>
    <t>User prompted to enter destination</t>
  </si>
  <si>
    <t>TC_007</t>
  </si>
  <si>
    <t>Ride Booking</t>
  </si>
  <si>
    <t>Verify book ride successfully</t>
  </si>
  <si>
    <t>Logged in; eligible driver available</t>
  </si>
  <si>
    <t>1. Set pickup and drop
2. select Mini
3. review fare
4. tap Book Ride
5. await acceptance</t>
  </si>
  <si>
    <t>MG Road → Indiranagar; Mini</t>
  </si>
  <si>
    <t>One request created; accepted ride shows driver details</t>
  </si>
  <si>
    <t>TC_008</t>
  </si>
  <si>
    <t>Verify handle no available drivers</t>
  </si>
  <si>
    <t>Logged in; test area has no available drivers</t>
  </si>
  <si>
    <t>1. Choose valid route and ride type
2. request ride
3. observe search result</t>
  </si>
  <si>
    <t>Valid route; unavailable supply</t>
  </si>
  <si>
    <t>Clear no-driver message or supported alternative displayed</t>
  </si>
  <si>
    <t>TC_009</t>
  </si>
  <si>
    <t>Verify prevent duplicate booking requests</t>
  </si>
  <si>
    <t>Logged in; valid route selected</t>
  </si>
  <si>
    <t>1. Choose ride
2. tap Book Ride repeatedly
3. check requests</t>
  </si>
  <si>
    <t>Rapid repeated taps</t>
  </si>
  <si>
    <t>Only one booking request created</t>
  </si>
  <si>
    <t>TC_010</t>
  </si>
  <si>
    <t>Cancellation</t>
  </si>
  <si>
    <t>Verify cancel before driver assignment</t>
  </si>
  <si>
    <t>Ride request pending acceptance</t>
  </si>
  <si>
    <t>1. Open pending request
2. tap Cancel
3. confirm
4. inspect status</t>
  </si>
  <si>
    <t>Pending ride</t>
  </si>
  <si>
    <t>Request cancelled and no longer active</t>
  </si>
  <si>
    <t>TC_011</t>
  </si>
  <si>
    <t>Verify cancel after driver assignment</t>
  </si>
  <si>
    <t>Driver accepted ride; cancellation permitted</t>
  </si>
  <si>
    <t>1. Open active ride
2. tap Cancel
3. review charges
4. confirm</t>
  </si>
  <si>
    <t>Confirmed ride</t>
  </si>
  <si>
    <t>Ride cancelled; any fee follows stated policy</t>
  </si>
  <si>
    <t>TC_012</t>
  </si>
  <si>
    <t>Verify notify user of driver cancellation</t>
  </si>
  <si>
    <t>Confirmed ride; driver test controls available</t>
  </si>
  <si>
    <t>1. Confirm ride
2. trigger driver cancellation
3. inspect rider app</t>
  </si>
  <si>
    <t>Driver-initiated cancellation</t>
  </si>
  <si>
    <t>Rider notified and rebooking option shown where supported</t>
  </si>
  <si>
    <t>TC_013</t>
  </si>
  <si>
    <t>Payment</t>
  </si>
  <si>
    <t>Verify successful UPI payment</t>
  </si>
  <si>
    <t>Completed ride; test UPI gateway enabled</t>
  </si>
  <si>
    <t>1. Open payment
2. choose UPI
3. complete test payment
4. return to app</t>
  </si>
  <si>
    <t>Valid test UPI payment</t>
  </si>
  <si>
    <t>Payment recorded once and receipt available</t>
  </si>
  <si>
    <t>TC_014</t>
  </si>
  <si>
    <t>Verify handle failed online payment</t>
  </si>
  <si>
    <t>Completed ride; test gateway supports failure</t>
  </si>
  <si>
    <t>1. Choose online payment
2. trigger simulated failure
3. inspect status
4. retry if offered</t>
  </si>
  <si>
    <t>Simulated failed transaction</t>
  </si>
  <si>
    <t>Failure shown; no duplicate charge; accurate outstanding balance</t>
  </si>
  <si>
    <t>TC_015</t>
  </si>
  <si>
    <t>Promotions</t>
  </si>
  <si>
    <t>Verify apply valid promo code</t>
  </si>
  <si>
    <t>Eligible trip; valid promotional code</t>
  </si>
  <si>
    <t>1. Enter trip
2. open promotions
3. enter valid code
4. apply
5. review fare</t>
  </si>
  <si>
    <t>Eligible 10% discount test code</t>
  </si>
  <si>
    <t>Discount calculated per offer terms</t>
  </si>
  <si>
    <t>Medium</t>
  </si>
  <si>
    <t>TC_016</t>
  </si>
  <si>
    <t>Verify validate invalid mobile number</t>
  </si>
  <si>
    <t>Login screen accessible</t>
  </si>
  <si>
    <t>1. Enter malformed mobile number
2. attempt OTP request</t>
  </si>
  <si>
    <t>123</t>
  </si>
  <si>
    <t>Validation shown; OTP request not submitted</t>
  </si>
  <si>
    <t>TC_017</t>
  </si>
  <si>
    <t>Verify resend OTP</t>
  </si>
  <si>
    <t>OTP requested; resend timer elapsed</t>
  </si>
  <si>
    <t>1. Request OTP
2. wait for allowed resend
3. tap Resend
4. enter new OTP</t>
  </si>
  <si>
    <t>Registered number; new OTP</t>
  </si>
  <si>
    <t>New OTP issued; login follows configured rules</t>
  </si>
  <si>
    <t>TC_018</t>
  </si>
  <si>
    <t>Location</t>
  </si>
  <si>
    <t>Verify handle denied location permission</t>
  </si>
  <si>
    <t>Device permission initially undecided</t>
  </si>
  <si>
    <t>1. Launch app
2. deny location permission
3. try selecting pickup</t>
  </si>
  <si>
    <t>Permission denied</t>
  </si>
  <si>
    <t>Clear guidance and manual location entry offered where supported</t>
  </si>
  <si>
    <t>TC_019</t>
  </si>
  <si>
    <t>Verify search destination locations</t>
  </si>
  <si>
    <t>1. Tap destination
2. enter Indiranagar
3. inspect suggestions
4. select result</t>
  </si>
  <si>
    <t>Indiranagar, Bengaluru</t>
  </si>
  <si>
    <t>Relevant locations shown; selection applied</t>
  </si>
  <si>
    <t>TC_020</t>
  </si>
  <si>
    <t>Fare</t>
  </si>
  <si>
    <t>Verify display fare estimates by ride type</t>
  </si>
  <si>
    <t>Valid route; multiple ride types offered</t>
  </si>
  <si>
    <t>1. Select route
2. view Mini estimate
3. switch to Sedan
4. compare displayed estimates</t>
  </si>
  <si>
    <t>MG Road → Indiranagar</t>
  </si>
  <si>
    <t>Fare estimates displayed for each offered ride type</t>
  </si>
  <si>
    <t>TC_021</t>
  </si>
  <si>
    <t>Driver</t>
  </si>
  <si>
    <t>Verify display assigned driver details</t>
  </si>
  <si>
    <t>1. Open ride details
2. inspect driver name, vehicle and contact options</t>
  </si>
  <si>
    <t>Confirmed booking</t>
  </si>
  <si>
    <t>Correct assigned driver and vehicle details shown</t>
  </si>
  <si>
    <t>TC_022</t>
  </si>
  <si>
    <t>Tracking</t>
  </si>
  <si>
    <t>Verify update driver live location</t>
  </si>
  <si>
    <t>Confirmed ride; location feed enabled</t>
  </si>
  <si>
    <t>1. Open tracking map
2. simulate driver movement
3. observe updates</t>
  </si>
  <si>
    <t>Simulated driver GPS positions</t>
  </si>
  <si>
    <t>Driver marker updates consistently with feed</t>
  </si>
  <si>
    <t>TC_023</t>
  </si>
  <si>
    <t>Ride Start</t>
  </si>
  <si>
    <t>Verify reject incorrect trip-start OTP</t>
  </si>
  <si>
    <t>Driver arrived; trip OTP enabled</t>
  </si>
  <si>
    <t>1. Start ride flow
2. submit incorrect trip OTP
3. inspect status</t>
  </si>
  <si>
    <t>Incorrect trip OTP</t>
  </si>
  <si>
    <t>Trip remains not started; validation displayed</t>
  </si>
  <si>
    <t>TC_024</t>
  </si>
  <si>
    <t>Ride Completion</t>
  </si>
  <si>
    <t>Verify complete active ride</t>
  </si>
  <si>
    <t>Ride in progress; driver test controls available</t>
  </si>
  <si>
    <t>1. Start ride with valid OTP
2. complete trip as driver
3. inspect rider status</t>
  </si>
  <si>
    <t>Active trip</t>
  </si>
  <si>
    <t>Trip marked Completed; final fare presented</t>
  </si>
  <si>
    <t>TC_025</t>
  </si>
  <si>
    <t>Verify record cash payment</t>
  </si>
  <si>
    <t>Completed trip; cash accepted</t>
  </si>
  <si>
    <t>1. Choose cash where offered
2. complete ride
3. record payment through test flow</t>
  </si>
  <si>
    <t>Cash payment</t>
  </si>
  <si>
    <t>Cash payment status recorded correctly</t>
  </si>
  <si>
    <t>TC_026</t>
  </si>
  <si>
    <t>Verify reject invalid promo code</t>
  </si>
  <si>
    <t>Eligible trip; promotion entry available</t>
  </si>
  <si>
    <t>1. Enter invalid code
2. tap Apply
3. review message and fare</t>
  </si>
  <si>
    <t>INVALID123</t>
  </si>
  <si>
    <t>Invalid code rejected; fare unchanged</t>
  </si>
  <si>
    <t>TC_027</t>
  </si>
  <si>
    <t>History</t>
  </si>
  <si>
    <t>Verify show previous ride history</t>
  </si>
  <si>
    <t>Account has completed and cancelled trips</t>
  </si>
  <si>
    <t>1. Open profile
2. select Ride History
3. inspect trips</t>
  </si>
  <si>
    <t>Account with prior trips</t>
  </si>
  <si>
    <t>Trips and their details shown accurately</t>
  </si>
  <si>
    <t>TC_028</t>
  </si>
  <si>
    <t>Invoice</t>
  </si>
  <si>
    <t>Verify download ride invoice</t>
  </si>
  <si>
    <t>Completed ride with invoice generated</t>
  </si>
  <si>
    <t>1. Open ride history
2. select completed ride
3. choose invoice/download</t>
  </si>
  <si>
    <t>Completed ride ID</t>
  </si>
  <si>
    <t>Invoice opens/downloads with correct ride and fare details</t>
  </si>
  <si>
    <t>TC_029</t>
  </si>
  <si>
    <t>Ratings</t>
  </si>
  <si>
    <t>Verify submit driver rating</t>
  </si>
  <si>
    <t>Completed ride; rating enabled</t>
  </si>
  <si>
    <t>1. Open completed trip
2. select star rating
3. submit
4. revisit</t>
  </si>
  <si>
    <t>4 stars</t>
  </si>
  <si>
    <t>Rating saved once and confirmation shown</t>
  </si>
  <si>
    <t>TC_030</t>
  </si>
  <si>
    <t>Connectivity</t>
  </si>
  <si>
    <t>Verify handle offline booking attempt</t>
  </si>
  <si>
    <t>Logged in; device can simulate offline mode</t>
  </si>
  <si>
    <t>1. Disable internet
2. enter/select route if possible
3. attempt booking</t>
  </si>
  <si>
    <t>No network connection</t>
  </si>
  <si>
    <t>Clear network error; no unintended booking created</t>
  </si>
  <si>
    <t>Ride Booking Test Case Summary</t>
  </si>
  <si>
    <t>Count</t>
  </si>
  <si>
    <t>Total Test Cases</t>
  </si>
  <si>
    <t>High Priority</t>
  </si>
  <si>
    <t>Medium Priority</t>
  </si>
  <si>
    <t>Positive Tests</t>
  </si>
  <si>
    <t>Negative Tests</t>
  </si>
  <si>
    <t>Executed Tests</t>
  </si>
  <si>
    <t xml:space="preserve"> Executed</t>
  </si>
  <si>
    <t>Registered phone valid OTP</t>
  </si>
  <si>
    <t>Executed</t>
  </si>
  <si>
    <t>Login denied with appropriate error msg like Invalid Otp</t>
  </si>
  <si>
    <t>Login denied with appropriate error msg like OTP expired</t>
  </si>
  <si>
    <t>Application did not display any error message and allowed the user to proceed with booking</t>
  </si>
  <si>
    <t>Application displays any error message like please enter a destination</t>
  </si>
  <si>
    <t>alternative displayed</t>
  </si>
  <si>
    <t>Request cancelled and no longer active booking rides</t>
  </si>
  <si>
    <t>Ride cancelled;</t>
  </si>
  <si>
    <t>Rider notified and rebooking option shown</t>
  </si>
  <si>
    <t>Payment successfully done and receipt generated</t>
  </si>
  <si>
    <t>Payment failure shown on the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</si>
</sst>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4"/>
      <name val="Carlito"/>
    </font>
    <font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ideTestCases" displayName="RideTestCases" ref="A1:K33" totalsRowShown="0" headerRowDxfId="1" dataDxfId="0">
  <tableColumns count="11">
    <tableColumn id="1" name="Test Case ID" dataDxfId="12"/>
    <tableColumn id="2" name="Module" dataDxfId="11"/>
    <tableColumn id="3" name="Test Case Description" dataDxfId="10"/>
    <tableColumn id="4" name="Preconditions" dataDxfId="9"/>
    <tableColumn id="5" name="Test Steps" dataDxfId="8"/>
    <tableColumn id="6" name="Test Data" dataDxfId="7"/>
    <tableColumn id="7" name="Expected Result" dataDxfId="6"/>
    <tableColumn id="8" name="Actual Result" dataDxfId="5"/>
    <tableColumn id="9" name="Status" dataDxfId="4"/>
    <tableColumn id="10" name="Priority" dataDxfId="3"/>
    <tableColumn id="11" name="Test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F1" zoomScale="70" zoomScaleNormal="70" workbookViewId="0">
      <pane ySplit="1" topLeftCell="A26" activePane="bottomLeft" state="frozen"/>
      <selection pane="bottomLeft" activeCell="H21" sqref="H21"/>
    </sheetView>
  </sheetViews>
  <sheetFormatPr defaultRowHeight="18"/>
  <cols>
    <col min="1" max="1" width="14" style="5" customWidth="1"/>
    <col min="2" max="2" width="20" style="5" customWidth="1"/>
    <col min="3" max="3" width="44" style="5" customWidth="1"/>
    <col min="4" max="4" width="42" style="5" customWidth="1"/>
    <col min="5" max="5" width="62" style="5" customWidth="1"/>
    <col min="6" max="6" width="39.625" style="5" customWidth="1"/>
    <col min="7" max="7" width="53" style="5" customWidth="1"/>
    <col min="8" max="8" width="66.625" style="5" customWidth="1"/>
    <col min="9" max="9" width="19" style="5" customWidth="1"/>
    <col min="10" max="10" width="13" style="5" customWidth="1"/>
    <col min="11" max="11" width="16" style="5" customWidth="1"/>
    <col min="12" max="16384" width="9" style="5"/>
  </cols>
  <sheetData>
    <row r="1" spans="1:11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92.1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216</v>
      </c>
      <c r="G2" s="3" t="s">
        <v>16</v>
      </c>
      <c r="H2" s="3" t="s">
        <v>16</v>
      </c>
      <c r="I2" s="3" t="s">
        <v>215</v>
      </c>
      <c r="J2" s="3" t="s">
        <v>17</v>
      </c>
      <c r="K2" s="3" t="s">
        <v>18</v>
      </c>
    </row>
    <row r="3" spans="1:11" ht="92.1" customHeight="1">
      <c r="A3" s="3" t="s">
        <v>19</v>
      </c>
      <c r="B3" s="3" t="s">
        <v>12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6" t="s">
        <v>218</v>
      </c>
      <c r="I3" s="3" t="s">
        <v>217</v>
      </c>
      <c r="J3" s="3" t="s">
        <v>17</v>
      </c>
      <c r="K3" s="3" t="s">
        <v>25</v>
      </c>
    </row>
    <row r="4" spans="1:11" ht="92.1" customHeight="1">
      <c r="A4" s="3" t="s">
        <v>26</v>
      </c>
      <c r="B4" s="3" t="s">
        <v>12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219</v>
      </c>
      <c r="I4" s="3" t="s">
        <v>215</v>
      </c>
      <c r="J4" s="3" t="s">
        <v>17</v>
      </c>
      <c r="K4" s="3" t="s">
        <v>25</v>
      </c>
    </row>
    <row r="5" spans="1:11" ht="92.1" customHeight="1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38</v>
      </c>
      <c r="I5" s="3" t="s">
        <v>215</v>
      </c>
      <c r="J5" s="3" t="s">
        <v>17</v>
      </c>
      <c r="K5" s="3" t="s">
        <v>18</v>
      </c>
    </row>
    <row r="6" spans="1:11" ht="92.1" customHeight="1">
      <c r="A6" s="3" t="s">
        <v>39</v>
      </c>
      <c r="B6" s="3" t="s">
        <v>33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4" t="s">
        <v>220</v>
      </c>
      <c r="I6" s="3" t="s">
        <v>215</v>
      </c>
      <c r="J6" s="3" t="s">
        <v>17</v>
      </c>
      <c r="K6" s="3" t="s">
        <v>25</v>
      </c>
    </row>
    <row r="7" spans="1:11" ht="92.1" customHeight="1">
      <c r="A7" s="3" t="s">
        <v>45</v>
      </c>
      <c r="B7" s="3" t="s">
        <v>33</v>
      </c>
      <c r="C7" s="3" t="s">
        <v>46</v>
      </c>
      <c r="D7" s="3" t="s">
        <v>41</v>
      </c>
      <c r="E7" s="3" t="s">
        <v>47</v>
      </c>
      <c r="F7" s="3" t="s">
        <v>48</v>
      </c>
      <c r="G7" s="3" t="s">
        <v>49</v>
      </c>
      <c r="H7" s="3" t="s">
        <v>221</v>
      </c>
      <c r="I7" s="3" t="s">
        <v>215</v>
      </c>
      <c r="J7" s="3" t="s">
        <v>17</v>
      </c>
      <c r="K7" s="3" t="s">
        <v>25</v>
      </c>
    </row>
    <row r="8" spans="1:11" ht="92.1" customHeight="1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56</v>
      </c>
      <c r="I8" s="3" t="s">
        <v>215</v>
      </c>
      <c r="J8" s="3" t="s">
        <v>17</v>
      </c>
      <c r="K8" s="3" t="s">
        <v>18</v>
      </c>
    </row>
    <row r="9" spans="1:11" ht="92.1" customHeight="1">
      <c r="A9" s="3" t="s">
        <v>57</v>
      </c>
      <c r="B9" s="3" t="s">
        <v>51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222</v>
      </c>
      <c r="I9" s="3" t="s">
        <v>215</v>
      </c>
      <c r="J9" s="3" t="s">
        <v>17</v>
      </c>
      <c r="K9" s="3" t="s">
        <v>25</v>
      </c>
    </row>
    <row r="10" spans="1:11" ht="92.1" customHeight="1">
      <c r="A10" s="3" t="s">
        <v>63</v>
      </c>
      <c r="B10" s="3" t="s">
        <v>51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68</v>
      </c>
      <c r="I10" s="3" t="s">
        <v>215</v>
      </c>
      <c r="J10" s="3" t="s">
        <v>17</v>
      </c>
      <c r="K10" s="3" t="s">
        <v>25</v>
      </c>
    </row>
    <row r="11" spans="1:11" ht="92.1" customHeight="1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223</v>
      </c>
      <c r="I11" s="3" t="s">
        <v>215</v>
      </c>
      <c r="J11" s="3" t="s">
        <v>17</v>
      </c>
      <c r="K11" s="3" t="s">
        <v>18</v>
      </c>
    </row>
    <row r="12" spans="1:11" ht="92.1" customHeight="1">
      <c r="A12" s="3" t="s">
        <v>76</v>
      </c>
      <c r="B12" s="3" t="s">
        <v>70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224</v>
      </c>
      <c r="I12" s="3" t="s">
        <v>215</v>
      </c>
      <c r="J12" s="3" t="s">
        <v>17</v>
      </c>
      <c r="K12" s="3" t="s">
        <v>18</v>
      </c>
    </row>
    <row r="13" spans="1:11" ht="92.1" customHeight="1">
      <c r="A13" s="3" t="s">
        <v>82</v>
      </c>
      <c r="B13" s="3" t="s">
        <v>70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225</v>
      </c>
      <c r="I13" s="3" t="s">
        <v>215</v>
      </c>
      <c r="J13" s="3" t="s">
        <v>17</v>
      </c>
      <c r="K13" s="3" t="s">
        <v>25</v>
      </c>
    </row>
    <row r="14" spans="1:11" ht="92.1" customHeight="1">
      <c r="A14" s="3" t="s">
        <v>88</v>
      </c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226</v>
      </c>
      <c r="I14" s="3" t="s">
        <v>215</v>
      </c>
      <c r="J14" s="3" t="s">
        <v>17</v>
      </c>
      <c r="K14" s="3" t="s">
        <v>18</v>
      </c>
    </row>
    <row r="15" spans="1:11" ht="92.1" customHeight="1">
      <c r="A15" s="3" t="s">
        <v>95</v>
      </c>
      <c r="B15" s="3" t="s">
        <v>89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227</v>
      </c>
      <c r="I15" s="3" t="s">
        <v>215</v>
      </c>
      <c r="J15" s="3" t="s">
        <v>17</v>
      </c>
      <c r="K15" s="3" t="s">
        <v>25</v>
      </c>
    </row>
    <row r="16" spans="1:11" ht="92.1" customHeight="1">
      <c r="A16" s="3" t="s">
        <v>101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3" t="s">
        <v>107</v>
      </c>
      <c r="I16" s="3" t="s">
        <v>215</v>
      </c>
      <c r="J16" s="3" t="s">
        <v>108</v>
      </c>
      <c r="K16" s="3" t="s">
        <v>18</v>
      </c>
    </row>
    <row r="17" spans="1:11" ht="92.1" customHeight="1">
      <c r="A17" s="3" t="s">
        <v>109</v>
      </c>
      <c r="B17" s="3" t="s">
        <v>12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107</v>
      </c>
      <c r="I17" s="3" t="s">
        <v>215</v>
      </c>
      <c r="J17" s="3" t="s">
        <v>17</v>
      </c>
      <c r="K17" s="3" t="s">
        <v>25</v>
      </c>
    </row>
    <row r="18" spans="1:11" ht="92.1" customHeight="1">
      <c r="A18" s="3" t="s">
        <v>115</v>
      </c>
      <c r="B18" s="3" t="s">
        <v>12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120</v>
      </c>
      <c r="H18" s="3" t="s">
        <v>120</v>
      </c>
      <c r="I18" s="3" t="s">
        <v>215</v>
      </c>
      <c r="J18" s="3" t="s">
        <v>108</v>
      </c>
      <c r="K18" s="3" t="s">
        <v>18</v>
      </c>
    </row>
    <row r="19" spans="1:11" ht="92.1" customHeight="1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127</v>
      </c>
      <c r="I19" s="3" t="s">
        <v>215</v>
      </c>
      <c r="J19" s="3" t="s">
        <v>17</v>
      </c>
      <c r="K19" s="3" t="s">
        <v>25</v>
      </c>
    </row>
    <row r="20" spans="1:11" ht="92.1" customHeight="1">
      <c r="A20" s="3" t="s">
        <v>128</v>
      </c>
      <c r="B20" s="3" t="s">
        <v>33</v>
      </c>
      <c r="C20" s="3" t="s">
        <v>129</v>
      </c>
      <c r="D20" s="3" t="s">
        <v>35</v>
      </c>
      <c r="E20" s="3" t="s">
        <v>130</v>
      </c>
      <c r="F20" s="3" t="s">
        <v>131</v>
      </c>
      <c r="G20" s="3" t="s">
        <v>132</v>
      </c>
      <c r="H20" s="3" t="s">
        <v>132</v>
      </c>
      <c r="I20" s="3" t="s">
        <v>215</v>
      </c>
      <c r="J20" s="3" t="s">
        <v>17</v>
      </c>
      <c r="K20" s="3" t="s">
        <v>18</v>
      </c>
    </row>
    <row r="21" spans="1:11" ht="92.1" customHeight="1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139</v>
      </c>
      <c r="I21" s="3" t="s">
        <v>215</v>
      </c>
      <c r="J21" s="3" t="s">
        <v>17</v>
      </c>
      <c r="K21" s="3" t="s">
        <v>18</v>
      </c>
    </row>
    <row r="22" spans="1:11" ht="92.1" customHeight="1">
      <c r="A22" s="3" t="s">
        <v>140</v>
      </c>
      <c r="B22" s="3" t="s">
        <v>141</v>
      </c>
      <c r="C22" s="3" t="s">
        <v>142</v>
      </c>
      <c r="D22" s="3" t="s">
        <v>80</v>
      </c>
      <c r="E22" s="3" t="s">
        <v>143</v>
      </c>
      <c r="F22" s="3" t="s">
        <v>144</v>
      </c>
      <c r="G22" s="3" t="s">
        <v>145</v>
      </c>
      <c r="H22" s="3" t="s">
        <v>145</v>
      </c>
      <c r="I22" s="3" t="s">
        <v>215</v>
      </c>
      <c r="J22" s="3" t="s">
        <v>17</v>
      </c>
      <c r="K22" s="3" t="s">
        <v>18</v>
      </c>
    </row>
    <row r="23" spans="1:11" ht="92.1" customHeight="1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151</v>
      </c>
      <c r="G23" s="3" t="s">
        <v>152</v>
      </c>
      <c r="H23" s="3" t="s">
        <v>152</v>
      </c>
      <c r="I23" s="3" t="s">
        <v>215</v>
      </c>
      <c r="J23" s="3" t="s">
        <v>17</v>
      </c>
      <c r="K23" s="3" t="s">
        <v>18</v>
      </c>
    </row>
    <row r="24" spans="1:11" ht="92.1" customHeight="1">
      <c r="A24" s="3" t="s">
        <v>153</v>
      </c>
      <c r="B24" s="3" t="s">
        <v>154</v>
      </c>
      <c r="C24" s="3" t="s">
        <v>155</v>
      </c>
      <c r="D24" s="3" t="s">
        <v>156</v>
      </c>
      <c r="E24" s="3" t="s">
        <v>157</v>
      </c>
      <c r="F24" s="3" t="s">
        <v>158</v>
      </c>
      <c r="G24" s="3" t="s">
        <v>159</v>
      </c>
      <c r="H24" s="3" t="s">
        <v>159</v>
      </c>
      <c r="I24" s="3" t="s">
        <v>215</v>
      </c>
      <c r="J24" s="3" t="s">
        <v>17</v>
      </c>
      <c r="K24" s="3" t="s">
        <v>25</v>
      </c>
    </row>
    <row r="25" spans="1:11" ht="92.1" customHeight="1">
      <c r="A25" s="3" t="s">
        <v>160</v>
      </c>
      <c r="B25" s="3" t="s">
        <v>161</v>
      </c>
      <c r="C25" s="3" t="s">
        <v>162</v>
      </c>
      <c r="D25" s="3" t="s">
        <v>163</v>
      </c>
      <c r="E25" s="3" t="s">
        <v>164</v>
      </c>
      <c r="F25" s="3" t="s">
        <v>165</v>
      </c>
      <c r="G25" s="3" t="s">
        <v>166</v>
      </c>
      <c r="H25" s="3" t="s">
        <v>166</v>
      </c>
      <c r="I25" s="3" t="s">
        <v>215</v>
      </c>
      <c r="J25" s="3" t="s">
        <v>17</v>
      </c>
      <c r="K25" s="3" t="s">
        <v>18</v>
      </c>
    </row>
    <row r="26" spans="1:11" ht="92.1" customHeight="1">
      <c r="A26" s="3" t="s">
        <v>167</v>
      </c>
      <c r="B26" s="3" t="s">
        <v>89</v>
      </c>
      <c r="C26" s="3" t="s">
        <v>168</v>
      </c>
      <c r="D26" s="3" t="s">
        <v>169</v>
      </c>
      <c r="E26" s="3" t="s">
        <v>170</v>
      </c>
      <c r="F26" s="3" t="s">
        <v>171</v>
      </c>
      <c r="G26" s="3" t="s">
        <v>172</v>
      </c>
      <c r="H26" s="3" t="s">
        <v>172</v>
      </c>
      <c r="I26" s="3" t="s">
        <v>215</v>
      </c>
      <c r="J26" s="3" t="s">
        <v>17</v>
      </c>
      <c r="K26" s="3" t="s">
        <v>18</v>
      </c>
    </row>
    <row r="27" spans="1:11" ht="92.1" customHeight="1">
      <c r="A27" s="3" t="s">
        <v>173</v>
      </c>
      <c r="B27" s="3" t="s">
        <v>102</v>
      </c>
      <c r="C27" s="3" t="s">
        <v>174</v>
      </c>
      <c r="D27" s="3" t="s">
        <v>175</v>
      </c>
      <c r="E27" s="3" t="s">
        <v>176</v>
      </c>
      <c r="F27" s="3" t="s">
        <v>177</v>
      </c>
      <c r="G27" s="3" t="s">
        <v>178</v>
      </c>
      <c r="H27" s="3" t="s">
        <v>178</v>
      </c>
      <c r="I27" s="3" t="s">
        <v>215</v>
      </c>
      <c r="J27" s="3" t="s">
        <v>108</v>
      </c>
      <c r="K27" s="3" t="s">
        <v>25</v>
      </c>
    </row>
    <row r="28" spans="1:11" ht="92.1" customHeight="1">
      <c r="A28" s="3" t="s">
        <v>179</v>
      </c>
      <c r="B28" s="3" t="s">
        <v>180</v>
      </c>
      <c r="C28" s="3" t="s">
        <v>181</v>
      </c>
      <c r="D28" s="3" t="s">
        <v>182</v>
      </c>
      <c r="E28" s="3" t="s">
        <v>183</v>
      </c>
      <c r="F28" s="3" t="s">
        <v>184</v>
      </c>
      <c r="G28" s="3" t="s">
        <v>185</v>
      </c>
      <c r="H28" s="3" t="s">
        <v>185</v>
      </c>
      <c r="I28" s="3" t="s">
        <v>215</v>
      </c>
      <c r="J28" s="3" t="s">
        <v>108</v>
      </c>
      <c r="K28" s="3" t="s">
        <v>18</v>
      </c>
    </row>
    <row r="29" spans="1:11" ht="92.1" customHeight="1">
      <c r="A29" s="3" t="s">
        <v>186</v>
      </c>
      <c r="B29" s="3" t="s">
        <v>187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192</v>
      </c>
      <c r="H29" s="3" t="s">
        <v>192</v>
      </c>
      <c r="I29" s="3" t="s">
        <v>215</v>
      </c>
      <c r="J29" s="3" t="s">
        <v>108</v>
      </c>
      <c r="K29" s="3" t="s">
        <v>18</v>
      </c>
    </row>
    <row r="30" spans="1:11" ht="92.1" customHeight="1">
      <c r="A30" s="3" t="s">
        <v>193</v>
      </c>
      <c r="B30" s="3" t="s">
        <v>194</v>
      </c>
      <c r="C30" s="3" t="s">
        <v>195</v>
      </c>
      <c r="D30" s="3" t="s">
        <v>196</v>
      </c>
      <c r="E30" s="3" t="s">
        <v>197</v>
      </c>
      <c r="F30" s="3" t="s">
        <v>198</v>
      </c>
      <c r="G30" s="3" t="s">
        <v>199</v>
      </c>
      <c r="H30" s="3" t="s">
        <v>199</v>
      </c>
      <c r="I30" s="3" t="s">
        <v>215</v>
      </c>
      <c r="J30" s="3" t="s">
        <v>108</v>
      </c>
      <c r="K30" s="3" t="s">
        <v>18</v>
      </c>
    </row>
    <row r="31" spans="1:11" ht="92.1" customHeight="1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204</v>
      </c>
      <c r="F31" s="3" t="s">
        <v>205</v>
      </c>
      <c r="G31" s="3" t="s">
        <v>206</v>
      </c>
      <c r="H31" s="3" t="s">
        <v>206</v>
      </c>
      <c r="I31" s="3" t="s">
        <v>215</v>
      </c>
      <c r="J31" s="3" t="s">
        <v>17</v>
      </c>
      <c r="K31" s="3" t="s">
        <v>25</v>
      </c>
    </row>
    <row r="32" spans="1:11">
      <c r="A32" s="4"/>
      <c r="B32" s="4"/>
      <c r="C32" s="4"/>
      <c r="D32" s="4"/>
      <c r="E32" s="4"/>
      <c r="F32" s="4"/>
      <c r="G32" s="4"/>
      <c r="H32" s="4"/>
      <c r="I32" s="3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3"/>
      <c r="J33" s="4"/>
      <c r="K33" s="4"/>
    </row>
  </sheetData>
  <dataValidations count="2">
    <dataValidation type="list" sqref="I2:I33">
      <formula1>"Not Executed,Pass,Fail,Blocked"</formula1>
    </dataValidation>
    <dataValidation type="list" sqref="J2:J33">
      <formula1>"High,Medium,Low"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25"/>
  <cols>
    <col min="1" max="1" width="35" customWidth="1"/>
    <col min="2" max="2" width="18" customWidth="1"/>
  </cols>
  <sheetData>
    <row r="1" spans="1:2" ht="30" customHeight="1">
      <c r="A1" s="1" t="s">
        <v>207</v>
      </c>
      <c r="B1" s="1" t="s">
        <v>208</v>
      </c>
    </row>
    <row r="2" spans="1:2">
      <c r="A2" t="s">
        <v>209</v>
      </c>
      <c r="B2">
        <f>COUNTA('Ride Booking Test Cases'!A2:A33)</f>
        <v>30</v>
      </c>
    </row>
    <row r="3" spans="1:2">
      <c r="A3" t="s">
        <v>210</v>
      </c>
      <c r="B3">
        <f>COUNTIF('Ride Booking Test Cases'!J2:J33,"High")</f>
        <v>24</v>
      </c>
    </row>
    <row r="4" spans="1:2">
      <c r="A4" t="s">
        <v>211</v>
      </c>
      <c r="B4">
        <f>COUNTIF('Ride Booking Test Cases'!J2:J33,"Medium")</f>
        <v>6</v>
      </c>
    </row>
    <row r="5" spans="1:2">
      <c r="A5" t="s">
        <v>212</v>
      </c>
      <c r="B5">
        <f>COUNTIF('Ride Booking Test Cases'!K2:K33,"Positive")</f>
        <v>17</v>
      </c>
    </row>
    <row r="6" spans="1:2">
      <c r="A6" t="s">
        <v>213</v>
      </c>
      <c r="B6">
        <f>COUNTIF('Ride Booking Test Cases'!K2:K33,"Negative")</f>
        <v>13</v>
      </c>
    </row>
    <row r="7" spans="1:2">
      <c r="A7" t="s">
        <v>214</v>
      </c>
      <c r="B7">
        <f>COUNTIF('Ride Booking Test Cases'!I2:I33,"Pass")+COUNTIF('Ride Booking Test Cases'!I2:I33,"Fail")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Ride Booking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2026-10-10T18:08:54Z</dcterms:modified>
</cp:coreProperties>
</file>